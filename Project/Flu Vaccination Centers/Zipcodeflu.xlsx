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idaghahremani/Downloads/"/>
    </mc:Choice>
  </mc:AlternateContent>
  <xr:revisionPtr revIDLastSave="0" documentId="13_ncr:1_{7CCAD459-6CE2-4244-B95F-318B88BA939E}" xr6:coauthVersionLast="47" xr6:coauthVersionMax="47" xr10:uidLastSave="{00000000-0000-0000-0000-000000000000}"/>
  <bookViews>
    <workbookView xWindow="2200" yWindow="1020" windowWidth="27640" windowHeight="16940" xr2:uid="{9A415DCE-69A3-B941-B269-D2272FE751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C31" i="1"/>
  <c r="D25" i="1"/>
  <c r="C25" i="1"/>
  <c r="D26" i="1"/>
  <c r="C26" i="1"/>
  <c r="C21" i="1"/>
  <c r="C20" i="1"/>
</calcChain>
</file>

<file path=xl/sharedStrings.xml><?xml version="1.0" encoding="utf-8"?>
<sst xmlns="http://schemas.openxmlformats.org/spreadsheetml/2006/main" count="64" uniqueCount="64">
  <si>
    <t>Sex</t>
  </si>
  <si>
    <t> Male</t>
  </si>
  <si>
    <t>5795 (36.16)</t>
  </si>
  <si>
    <t> Female</t>
  </si>
  <si>
    <t>7481 (46.68)</t>
  </si>
  <si>
    <t> Missing</t>
  </si>
  <si>
    <t>2751 (17.16)</t>
  </si>
  <si>
    <t>Age group</t>
  </si>
  <si>
    <t> 0-4</t>
  </si>
  <si>
    <t>2770 (17.28)</t>
  </si>
  <si>
    <t> 5-17</t>
  </si>
  <si>
    <t>3590 (22.40)</t>
  </si>
  <si>
    <t> 18-49</t>
  </si>
  <si>
    <t>4635 (28.92)</t>
  </si>
  <si>
    <t> 50-64</t>
  </si>
  <si>
    <t>2211 (13.80)</t>
  </si>
  <si>
    <t> 65 or older</t>
  </si>
  <si>
    <t>2821 (17.60)</t>
  </si>
  <si>
    <t>Race/ethnicity</t>
  </si>
  <si>
    <t> African-American</t>
  </si>
  <si>
    <t>620 (15.84)</t>
  </si>
  <si>
    <t> White</t>
  </si>
  <si>
    <t>2952 (75.44)</t>
  </si>
  <si>
    <t> Hispanic</t>
  </si>
  <si>
    <t>134 (3.42)</t>
  </si>
  <si>
    <t> Other</t>
  </si>
  <si>
    <t>207 (5.29)</t>
  </si>
  <si>
    <t> Unknown</t>
  </si>
  <si>
    <t>12 114 (75.58)</t>
  </si>
  <si>
    <t>ZIP code</t>
  </si>
  <si>
    <t> 77801</t>
  </si>
  <si>
    <t>1191 (7.43)</t>
  </si>
  <si>
    <t> 77802</t>
  </si>
  <si>
    <t>1963 (12.25)</t>
  </si>
  <si>
    <t> 77803</t>
  </si>
  <si>
    <t>3448 (21.51)</t>
  </si>
  <si>
    <t> 77805</t>
  </si>
  <si>
    <t>119 (0.74)</t>
  </si>
  <si>
    <t> 77806</t>
  </si>
  <si>
    <t>70 (0.44)</t>
  </si>
  <si>
    <t> 77807</t>
  </si>
  <si>
    <t>974 (6.08)</t>
  </si>
  <si>
    <t> 77808</t>
  </si>
  <si>
    <t>1214 (7.57)</t>
  </si>
  <si>
    <t> 77840</t>
  </si>
  <si>
    <t>2017(12.59)</t>
  </si>
  <si>
    <t> 77841</t>
  </si>
  <si>
    <t>19 (0.12)</t>
  </si>
  <si>
    <t> 77842</t>
  </si>
  <si>
    <t>90 (0.56)</t>
  </si>
  <si>
    <t> 77843</t>
  </si>
  <si>
    <t>3 (0.02)</t>
  </si>
  <si>
    <t> 77844</t>
  </si>
  <si>
    <t>1 (0.01)</t>
  </si>
  <si>
    <t> 77845</t>
  </si>
  <si>
    <t>4875 (30.42)</t>
  </si>
  <si>
    <t> 77862</t>
  </si>
  <si>
    <t>2 (0.01)</t>
  </si>
  <si>
    <t> 77866</t>
  </si>
  <si>
    <t>29 (0.18)</t>
  </si>
  <si>
    <t> 77881</t>
  </si>
  <si>
    <t>12 (0.07)</t>
  </si>
  <si>
    <t>Demographic characteristics of vaccinated persons, Brazos County, Texas, 2017 (N = 16 027).</t>
  </si>
  <si>
    <t>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</si>
</sst>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7"/>
      <color rgb="FF1B1B1B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FB7B-D0A5-E241-9EDC-31C3DD19A3C4}">
  <dimension ref="A1:D34"/>
  <sheetViews>
    <sheetView tabSelected="1" workbookViewId="0">
      <selection activeCell="C21" sqref="C21"/>
    </sheetView>
  </sheetViews>
  <sheetFormatPr baseColWidth="10" defaultRowHeight="16" x14ac:dyDescent="0.2"/>
  <cols>
    <col min="1" max="1" width="22.5" customWidth="1"/>
    <col min="2" max="2" width="26.33203125" customWidth="1"/>
  </cols>
  <sheetData>
    <row r="1" spans="1:2" ht="22" x14ac:dyDescent="0.25">
      <c r="A1" s="1" t="s">
        <v>62</v>
      </c>
    </row>
    <row r="2" spans="1:2" ht="22" x14ac:dyDescent="0.25">
      <c r="A2" s="1" t="s">
        <v>0</v>
      </c>
      <c r="B2" s="1" t="s">
        <v>63</v>
      </c>
    </row>
    <row r="3" spans="1:2" ht="22" x14ac:dyDescent="0.25">
      <c r="A3" s="1" t="s">
        <v>1</v>
      </c>
      <c r="B3" s="1" t="s">
        <v>2</v>
      </c>
    </row>
    <row r="4" spans="1:2" ht="22" x14ac:dyDescent="0.25">
      <c r="A4" s="1" t="s">
        <v>3</v>
      </c>
      <c r="B4" s="1" t="s">
        <v>4</v>
      </c>
    </row>
    <row r="5" spans="1:2" ht="22" x14ac:dyDescent="0.25">
      <c r="A5" s="1" t="s">
        <v>5</v>
      </c>
      <c r="B5" s="1" t="s">
        <v>6</v>
      </c>
    </row>
    <row r="6" spans="1:2" ht="22" x14ac:dyDescent="0.25">
      <c r="A6" s="1" t="s">
        <v>7</v>
      </c>
    </row>
    <row r="7" spans="1:2" ht="22" x14ac:dyDescent="0.25">
      <c r="A7" s="1" t="s">
        <v>8</v>
      </c>
      <c r="B7" s="1" t="s">
        <v>9</v>
      </c>
    </row>
    <row r="8" spans="1:2" ht="22" x14ac:dyDescent="0.25">
      <c r="A8" s="1" t="s">
        <v>10</v>
      </c>
      <c r="B8" s="1" t="s">
        <v>11</v>
      </c>
    </row>
    <row r="9" spans="1:2" ht="22" x14ac:dyDescent="0.25">
      <c r="A9" s="1" t="s">
        <v>12</v>
      </c>
      <c r="B9" s="1" t="s">
        <v>13</v>
      </c>
    </row>
    <row r="10" spans="1:2" ht="22" x14ac:dyDescent="0.25">
      <c r="A10" s="1" t="s">
        <v>14</v>
      </c>
      <c r="B10" s="1" t="s">
        <v>15</v>
      </c>
    </row>
    <row r="11" spans="1:2" ht="22" x14ac:dyDescent="0.25">
      <c r="A11" s="1" t="s">
        <v>16</v>
      </c>
      <c r="B11" s="1" t="s">
        <v>17</v>
      </c>
    </row>
    <row r="12" spans="1:2" ht="22" x14ac:dyDescent="0.25">
      <c r="A12" s="1" t="s">
        <v>18</v>
      </c>
    </row>
    <row r="13" spans="1:2" ht="22" x14ac:dyDescent="0.25">
      <c r="A13" s="1" t="s">
        <v>19</v>
      </c>
      <c r="B13" s="1" t="s">
        <v>20</v>
      </c>
    </row>
    <row r="14" spans="1:2" ht="22" x14ac:dyDescent="0.25">
      <c r="A14" s="1" t="s">
        <v>21</v>
      </c>
      <c r="B14" s="1" t="s">
        <v>22</v>
      </c>
    </row>
    <row r="15" spans="1:2" ht="22" x14ac:dyDescent="0.25">
      <c r="A15" s="1" t="s">
        <v>23</v>
      </c>
      <c r="B15" s="1" t="s">
        <v>24</v>
      </c>
    </row>
    <row r="16" spans="1:2" ht="22" x14ac:dyDescent="0.25">
      <c r="A16" s="1" t="s">
        <v>25</v>
      </c>
      <c r="B16" s="1" t="s">
        <v>26</v>
      </c>
    </row>
    <row r="17" spans="1:4" ht="22" x14ac:dyDescent="0.25">
      <c r="A17" s="1" t="s">
        <v>27</v>
      </c>
      <c r="B17" s="1" t="s">
        <v>28</v>
      </c>
    </row>
    <row r="18" spans="1:4" ht="22" x14ac:dyDescent="0.25">
      <c r="A18" s="1" t="s">
        <v>29</v>
      </c>
    </row>
    <row r="19" spans="1:4" ht="22" x14ac:dyDescent="0.25">
      <c r="A19" s="1" t="s">
        <v>30</v>
      </c>
      <c r="B19" s="1" t="s">
        <v>31</v>
      </c>
    </row>
    <row r="20" spans="1:4" ht="22" x14ac:dyDescent="0.25">
      <c r="A20" s="1" t="s">
        <v>32</v>
      </c>
      <c r="B20" s="1" t="s">
        <v>33</v>
      </c>
      <c r="C20">
        <f>1963+119+70</f>
        <v>2152</v>
      </c>
    </row>
    <row r="21" spans="1:4" ht="22" x14ac:dyDescent="0.25">
      <c r="A21" s="1" t="s">
        <v>34</v>
      </c>
      <c r="B21" s="1" t="s">
        <v>35</v>
      </c>
      <c r="C21">
        <f>12.25+0.74+0.44</f>
        <v>13.43</v>
      </c>
    </row>
    <row r="22" spans="1:4" ht="22" x14ac:dyDescent="0.25">
      <c r="A22" s="1" t="s">
        <v>36</v>
      </c>
      <c r="B22" s="1" t="s">
        <v>37</v>
      </c>
    </row>
    <row r="23" spans="1:4" ht="22" x14ac:dyDescent="0.25">
      <c r="A23" s="1" t="s">
        <v>38</v>
      </c>
      <c r="B23" s="1" t="s">
        <v>39</v>
      </c>
    </row>
    <row r="24" spans="1:4" ht="22" x14ac:dyDescent="0.25">
      <c r="A24" s="1" t="s">
        <v>40</v>
      </c>
      <c r="B24" s="1" t="s">
        <v>41</v>
      </c>
    </row>
    <row r="25" spans="1:4" ht="22" x14ac:dyDescent="0.25">
      <c r="A25" s="1" t="s">
        <v>42</v>
      </c>
      <c r="B25" s="1" t="s">
        <v>43</v>
      </c>
      <c r="C25">
        <f>1214+2</f>
        <v>1216</v>
      </c>
      <c r="D25">
        <f>7.57+0.01</f>
        <v>7.58</v>
      </c>
    </row>
    <row r="26" spans="1:4" ht="22" x14ac:dyDescent="0.25">
      <c r="A26" s="1" t="s">
        <v>44</v>
      </c>
      <c r="B26" s="1" t="s">
        <v>45</v>
      </c>
      <c r="C26">
        <f>2017+19+1</f>
        <v>2037</v>
      </c>
      <c r="D26">
        <f>12.59+0.12+0.01</f>
        <v>12.719999999999999</v>
      </c>
    </row>
    <row r="27" spans="1:4" ht="22" x14ac:dyDescent="0.25">
      <c r="A27" s="1" t="s">
        <v>46</v>
      </c>
      <c r="B27" s="1" t="s">
        <v>47</v>
      </c>
    </row>
    <row r="28" spans="1:4" ht="22" x14ac:dyDescent="0.25">
      <c r="A28" s="1" t="s">
        <v>48</v>
      </c>
      <c r="B28" s="1" t="s">
        <v>49</v>
      </c>
    </row>
    <row r="29" spans="1:4" ht="22" x14ac:dyDescent="0.25">
      <c r="A29" s="1" t="s">
        <v>50</v>
      </c>
      <c r="B29" s="1" t="s">
        <v>51</v>
      </c>
    </row>
    <row r="30" spans="1:4" ht="22" x14ac:dyDescent="0.25">
      <c r="A30" s="1" t="s">
        <v>52</v>
      </c>
      <c r="B30" s="1" t="s">
        <v>53</v>
      </c>
    </row>
    <row r="31" spans="1:4" ht="22" x14ac:dyDescent="0.25">
      <c r="A31" s="1" t="s">
        <v>54</v>
      </c>
      <c r="B31" s="1" t="s">
        <v>55</v>
      </c>
      <c r="C31">
        <f>4875+90+3+29+12</f>
        <v>5009</v>
      </c>
      <c r="D31">
        <f>30.42+0.56+0.02+0.18+0.07</f>
        <v>31.25</v>
      </c>
    </row>
    <row r="32" spans="1:4" ht="22" x14ac:dyDescent="0.25">
      <c r="A32" s="1" t="s">
        <v>56</v>
      </c>
      <c r="B32" s="1" t="s">
        <v>57</v>
      </c>
    </row>
    <row r="33" spans="1:2" ht="22" x14ac:dyDescent="0.25">
      <c r="A33" s="1" t="s">
        <v>58</v>
      </c>
      <c r="B33" s="1" t="s">
        <v>59</v>
      </c>
    </row>
    <row r="34" spans="1:2" ht="22" x14ac:dyDescent="0.25">
      <c r="A34" s="1" t="s">
        <v>60</v>
      </c>
      <c r="B34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Sheida Ghahremani</dc:creator>
  <cp:lastModifiedBy>Sheida Ghahremani</cp:lastModifiedBy>
  <dcterms:created xsi:type="dcterms:W3CDTF">2025-04-14T03:43:54Z</dcterms:created>
  <dcterms:modified xsi:type="dcterms:W3CDTF">2025-04-15T00:38:31Z</dcterms:modified>
</cp:coreProperties>
</file>